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RM\testwork\2025_Infantry\Infantry_crossing_hole\2026_pancake_car\Gimbal\"/>
    </mc:Choice>
  </mc:AlternateContent>
  <xr:revisionPtr revIDLastSave="0" documentId="13_ncr:1_{7FE9ADDD-E806-49FB-A80E-3F0AAF876B82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" i="1" l="1" a="1"/>
  <c r="I2" i="1" s="1"/>
  <c r="G22" i="1"/>
  <c r="F22" i="1"/>
  <c r="E21" i="1"/>
  <c r="F21" i="1" s="1"/>
  <c r="E22" i="1"/>
  <c r="H2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" i="1"/>
  <c r="G12" i="1"/>
  <c r="F13" i="1"/>
  <c r="E3" i="1"/>
  <c r="E2" i="1" s="1"/>
  <c r="F2" i="1" s="1"/>
  <c r="E4" i="1"/>
  <c r="F4" i="1" s="1"/>
  <c r="E5" i="1"/>
  <c r="G5" i="1" s="1"/>
  <c r="E6" i="1"/>
  <c r="G6" i="1" s="1"/>
  <c r="E7" i="1"/>
  <c r="G7" i="1" s="1"/>
  <c r="E8" i="1"/>
  <c r="G8" i="1" s="1"/>
  <c r="E9" i="1"/>
  <c r="F9" i="1" s="1"/>
  <c r="E10" i="1"/>
  <c r="F10" i="1" s="1"/>
  <c r="E11" i="1"/>
  <c r="F11" i="1" s="1"/>
  <c r="E12" i="1"/>
  <c r="F12" i="1" s="1"/>
  <c r="E13" i="1"/>
  <c r="G13" i="1" s="1"/>
  <c r="E14" i="1"/>
  <c r="F14" i="1" s="1"/>
  <c r="E15" i="1"/>
  <c r="F15" i="1" s="1"/>
  <c r="E16" i="1"/>
  <c r="F16" i="1" s="1"/>
  <c r="E17" i="1"/>
  <c r="G17" i="1" s="1"/>
  <c r="E18" i="1"/>
  <c r="G18" i="1" s="1"/>
  <c r="E19" i="1"/>
  <c r="G19" i="1" s="1"/>
  <c r="E20" i="1"/>
  <c r="G20" i="1" s="1"/>
  <c r="F20" i="1" l="1"/>
  <c r="G16" i="1"/>
  <c r="F19" i="1"/>
  <c r="F7" i="1"/>
  <c r="G15" i="1"/>
  <c r="G3" i="1"/>
  <c r="F8" i="1"/>
  <c r="G4" i="1"/>
  <c r="F18" i="1"/>
  <c r="F6" i="1"/>
  <c r="G14" i="1"/>
  <c r="F17" i="1"/>
  <c r="F5" i="1"/>
  <c r="F3" i="1"/>
  <c r="G11" i="1"/>
  <c r="G2" i="1"/>
  <c r="G10" i="1"/>
  <c r="G21" i="1"/>
  <c r="G9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<sst xmlns="http://schemas.openxmlformats.org/spreadsheetml/2006/main" count="58" uniqueCount="39">
  <si>
    <t>pitch</t>
    <phoneticPr fontId="1" type="noConversion"/>
  </si>
  <si>
    <t>out</t>
    <phoneticPr fontId="1" type="noConversion"/>
  </si>
  <si>
    <t>&gt;-4.7</t>
    <phoneticPr fontId="1" type="noConversion"/>
  </si>
  <si>
    <t>边界角度</t>
    <phoneticPr fontId="1" type="noConversion"/>
  </si>
  <si>
    <t>边界弧度</t>
    <phoneticPr fontId="1" type="noConversion"/>
  </si>
  <si>
    <t>sin</t>
    <phoneticPr fontId="1" type="noConversion"/>
  </si>
  <si>
    <t>cos</t>
    <phoneticPr fontId="1" type="noConversion"/>
  </si>
  <si>
    <t>&lt;</t>
    <phoneticPr fontId="1" type="noConversion"/>
  </si>
  <si>
    <t>&gt;</t>
    <phoneticPr fontId="1" type="noConversion"/>
  </si>
  <si>
    <t>符号</t>
    <phoneticPr fontId="1" type="noConversion"/>
  </si>
  <si>
    <t>库伦摩擦C</t>
    <phoneticPr fontId="1" type="noConversion"/>
  </si>
  <si>
    <t>Asin</t>
    <phoneticPr fontId="1" type="noConversion"/>
  </si>
  <si>
    <t>Bcos</t>
    <phoneticPr fontId="1" type="noConversion"/>
  </si>
  <si>
    <t>T=Asinθ+Bcosθ+Csgn</t>
    <phoneticPr fontId="1" type="noConversion"/>
  </si>
  <si>
    <t>下降</t>
    <phoneticPr fontId="1" type="noConversion"/>
  </si>
  <si>
    <t>上升</t>
    <phoneticPr fontId="1" type="noConversion"/>
  </si>
  <si>
    <t>T1=G-C</t>
    <phoneticPr fontId="1" type="noConversion"/>
  </si>
  <si>
    <t>T2=G+C</t>
    <phoneticPr fontId="1" type="noConversion"/>
  </si>
  <si>
    <t>&lt;-6.2</t>
    <phoneticPr fontId="1" type="noConversion"/>
  </si>
  <si>
    <t>&lt;-4.53</t>
    <phoneticPr fontId="1" type="noConversion"/>
  </si>
  <si>
    <t>&lt;-2.12</t>
    <phoneticPr fontId="1" type="noConversion"/>
  </si>
  <si>
    <t>&lt;3.66</t>
    <phoneticPr fontId="1" type="noConversion"/>
  </si>
  <si>
    <t>&lt;0.75</t>
    <phoneticPr fontId="1" type="noConversion"/>
  </si>
  <si>
    <t>&lt;7.8</t>
    <phoneticPr fontId="1" type="noConversion"/>
  </si>
  <si>
    <t>&lt;10.78</t>
    <phoneticPr fontId="1" type="noConversion"/>
  </si>
  <si>
    <t>&gt;-11.3</t>
    <phoneticPr fontId="1" type="noConversion"/>
  </si>
  <si>
    <t>&gt;-10.78</t>
    <phoneticPr fontId="1" type="noConversion"/>
  </si>
  <si>
    <t>&gt;-9.0</t>
    <phoneticPr fontId="1" type="noConversion"/>
  </si>
  <si>
    <t>&gt;-8.23</t>
    <phoneticPr fontId="1" type="noConversion"/>
  </si>
  <si>
    <t>&gt;-7.8</t>
    <phoneticPr fontId="1" type="noConversion"/>
  </si>
  <si>
    <t>&gt;-6.8</t>
    <phoneticPr fontId="1" type="noConversion"/>
  </si>
  <si>
    <t>&gt;-6.26</t>
    <phoneticPr fontId="1" type="noConversion"/>
  </si>
  <si>
    <t>&gt;-5.6</t>
    <phoneticPr fontId="1" type="noConversion"/>
  </si>
  <si>
    <t>&gt;-3.5</t>
    <phoneticPr fontId="1" type="noConversion"/>
  </si>
  <si>
    <t>&gt;15.5</t>
    <phoneticPr fontId="1" type="noConversion"/>
  </si>
  <si>
    <t>&gt;16.9</t>
    <phoneticPr fontId="1" type="noConversion"/>
  </si>
  <si>
    <t>&gt;24.78</t>
    <phoneticPr fontId="1" type="noConversion"/>
  </si>
  <si>
    <t>&gt;26.7</t>
    <phoneticPr fontId="1" type="noConversion"/>
  </si>
  <si>
    <t>T=606.6655 sinθ+1723.191cosθ+153.83098sgnω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</si>
</sst>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>
        <c:manualLayout>
          <c:layoutTarget val="inner"/>
          <c:xMode val="edge"/>
          <c:yMode val="edge"/>
          <c:x val="7.9789370078740152E-2"/>
          <c:y val="0.18039370078740158"/>
          <c:w val="0.86987729658792656"/>
          <c:h val="0.76868037328667249"/>
        </c:manualLayout>
      </c:layout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Sheet1!$B$2:$B$21</c:f>
              <c:numCache>
                <c:formatCode>General</c:formatCode>
                <c:ptCount val="20"/>
                <c:pt idx="0">
                  <c:v>1500</c:v>
                </c:pt>
                <c:pt idx="1">
                  <c:v>1525</c:v>
                </c:pt>
                <c:pt idx="2">
                  <c:v>1550</c:v>
                </c:pt>
                <c:pt idx="3">
                  <c:v>1575</c:v>
                </c:pt>
                <c:pt idx="4">
                  <c:v>1600</c:v>
                </c:pt>
                <c:pt idx="5">
                  <c:v>1625</c:v>
                </c:pt>
                <c:pt idx="6">
                  <c:v>1650</c:v>
                </c:pt>
                <c:pt idx="7">
                  <c:v>1675</c:v>
                </c:pt>
                <c:pt idx="8">
                  <c:v>1700</c:v>
                </c:pt>
                <c:pt idx="9">
                  <c:v>1725</c:v>
                </c:pt>
                <c:pt idx="10">
                  <c:v>1750</c:v>
                </c:pt>
                <c:pt idx="11">
                  <c:v>1775</c:v>
                </c:pt>
                <c:pt idx="12">
                  <c:v>1800</c:v>
                </c:pt>
                <c:pt idx="13">
                  <c:v>1825</c:v>
                </c:pt>
                <c:pt idx="14">
                  <c:v>1850</c:v>
                </c:pt>
                <c:pt idx="15">
                  <c:v>1875</c:v>
                </c:pt>
                <c:pt idx="16">
                  <c:v>1900</c:v>
                </c:pt>
                <c:pt idx="17">
                  <c:v>1925</c:v>
                </c:pt>
                <c:pt idx="18">
                  <c:v>1950</c:v>
                </c:pt>
                <c:pt idx="19">
                  <c:v>1975</c:v>
                </c:pt>
              </c:numCache>
            </c:numRef>
          </c:xVal>
          <c:yVal>
            <c:numRef>
              <c:f>Sheet1!$D$2:$D$21</c:f>
              <c:numCache>
                <c:formatCode>General</c:formatCode>
                <c:ptCount val="20"/>
                <c:pt idx="0">
                  <c:v>-6.2</c:v>
                </c:pt>
                <c:pt idx="1">
                  <c:v>-4.53</c:v>
                </c:pt>
                <c:pt idx="2">
                  <c:v>-2.12</c:v>
                </c:pt>
                <c:pt idx="3">
                  <c:v>0.75</c:v>
                </c:pt>
                <c:pt idx="4">
                  <c:v>3.66</c:v>
                </c:pt>
                <c:pt idx="5">
                  <c:v>7.8</c:v>
                </c:pt>
                <c:pt idx="6">
                  <c:v>10.78</c:v>
                </c:pt>
                <c:pt idx="7">
                  <c:v>-11.3</c:v>
                </c:pt>
                <c:pt idx="8">
                  <c:v>-10.78</c:v>
                </c:pt>
                <c:pt idx="9">
                  <c:v>-9</c:v>
                </c:pt>
                <c:pt idx="10">
                  <c:v>-8.23</c:v>
                </c:pt>
                <c:pt idx="11">
                  <c:v>-7.8</c:v>
                </c:pt>
                <c:pt idx="12">
                  <c:v>-6.8</c:v>
                </c:pt>
                <c:pt idx="13">
                  <c:v>-6.26</c:v>
                </c:pt>
                <c:pt idx="14">
                  <c:v>-5.6</c:v>
                </c:pt>
                <c:pt idx="15">
                  <c:v>-4.7</c:v>
                </c:pt>
                <c:pt idx="16">
                  <c:v>-3.5</c:v>
                </c:pt>
                <c:pt idx="17">
                  <c:v>15.5</c:v>
                </c:pt>
                <c:pt idx="18">
                  <c:v>16.899999999999999</c:v>
                </c:pt>
                <c:pt idx="19">
                  <c:v>24.78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1A-46DE-BFAC-267517567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30150352"/>
        <c:axId val="1230147024"/>
      </c:scatterChart>
      <c:valAx>
        <c:axId val="12301503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147024"/>
        <c:crosses val="autoZero"/>
        <c:crossBetween val="midCat"/>
      </c:valAx>
      <c:valAx>
        <c:axId val="1230147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2301503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376239</xdr:colOff>
      <xdr:row>9</xdr:row>
      <xdr:rowOff>147636</xdr:rowOff>
    </xdr:from>
    <xdr:to>
      <xdr:col>16</xdr:col>
      <xdr:colOff>64296</xdr:colOff>
      <xdr:row>24</xdr:row>
      <xdr:rowOff>109538</xdr:rowOff>
    </xdr:to>
    <xdr:graphicFrame macro="">
      <xdr:nvGraphicFramePr>
        <xdr:cNvPr id="13" name="图表 12">
          <a:extLst>
            <a:ext uri="{FF2B5EF4-FFF2-40B4-BE49-F238E27FC236}">
              <a16:creationId xmlns:a16="http://schemas.microsoft.com/office/drawing/2014/main" id="{76CBF44F-E2E7-45B9-BBBF-A0519E998D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2"/>
  <sheetViews>
    <sheetView tabSelected="1" workbookViewId="0">
      <selection activeCell="I9" sqref="I9:M9"/>
    </sheetView>
  </sheetViews>
  <sheetFormatPr defaultRowHeight="13.9" x14ac:dyDescent="0.4"/>
  <cols>
    <col min="9" max="9" width="10.46484375" customWidth="1"/>
  </cols>
  <sheetData>
    <row r="1" spans="1:14" x14ac:dyDescent="0.4">
      <c r="A1" t="s">
        <v>0</v>
      </c>
      <c r="B1" t="s">
        <v>1</v>
      </c>
      <c r="D1" t="s">
        <v>3</v>
      </c>
      <c r="E1" t="s">
        <v>4</v>
      </c>
      <c r="F1" t="s">
        <v>5</v>
      </c>
      <c r="G1" t="s">
        <v>6</v>
      </c>
      <c r="H1" t="s">
        <v>9</v>
      </c>
      <c r="I1" t="s">
        <v>10</v>
      </c>
      <c r="J1" t="s">
        <v>12</v>
      </c>
      <c r="K1" t="s">
        <v>11</v>
      </c>
    </row>
    <row r="2" spans="1:14" x14ac:dyDescent="0.4">
      <c r="A2" t="s">
        <v>18</v>
      </c>
      <c r="B2">
        <v>1500</v>
      </c>
      <c r="C2" t="s">
        <v>7</v>
      </c>
      <c r="D2">
        <v>-6.2</v>
      </c>
      <c r="E2">
        <f>RADIANS(D2)</f>
        <v>-0.10821041362364843</v>
      </c>
      <c r="F2">
        <f>SIN(E2)</f>
        <v>-0.10799935570602284</v>
      </c>
      <c r="G2">
        <f>COS(E2)</f>
        <v>0.99415096397231539</v>
      </c>
      <c r="H2">
        <f>IF(C2="&lt;",-1,1)</f>
        <v>-1</v>
      </c>
      <c r="I2" cm="1">
        <f t="array" ref="I2:L6">LINEST(B2:B22,F2:H22,FALSE,TRUE)</f>
        <v>153.83098311545623</v>
      </c>
      <c r="J2">
        <v>1723.191382134451</v>
      </c>
      <c r="K2">
        <v>606.66550803237124</v>
      </c>
      <c r="L2">
        <v>0</v>
      </c>
      <c r="M2" t="s">
        <v>16</v>
      </c>
      <c r="N2" t="s">
        <v>14</v>
      </c>
    </row>
    <row r="3" spans="1:14" x14ac:dyDescent="0.4">
      <c r="A3" t="s">
        <v>19</v>
      </c>
      <c r="B3">
        <v>1525</v>
      </c>
      <c r="C3" t="s">
        <v>7</v>
      </c>
      <c r="D3">
        <v>-4.53</v>
      </c>
      <c r="E3">
        <f t="shared" ref="E3:E22" si="0">RADIANS(D3)</f>
        <v>-7.9063415115343136E-2</v>
      </c>
      <c r="F3">
        <f t="shared" ref="F3:F22" si="1">SIN(E3)</f>
        <v>-7.8981069644306456E-2</v>
      </c>
      <c r="G3">
        <f t="shared" ref="G3:G22" si="2">COS(E3)</f>
        <v>0.99687611599327686</v>
      </c>
      <c r="H3">
        <f t="shared" ref="H3:H22" si="3">IF(C3="&lt;",-1,1)</f>
        <v>-1</v>
      </c>
      <c r="I3">
        <v>7.5856182856258467</v>
      </c>
      <c r="J3">
        <v>7.7441649980394835</v>
      </c>
      <c r="K3">
        <v>36.987603852356891</v>
      </c>
      <c r="L3" t="e">
        <v>#N/A</v>
      </c>
      <c r="M3" t="s">
        <v>17</v>
      </c>
      <c r="N3" t="s">
        <v>15</v>
      </c>
    </row>
    <row r="4" spans="1:14" x14ac:dyDescent="0.4">
      <c r="A4" t="s">
        <v>20</v>
      </c>
      <c r="B4">
        <v>1550</v>
      </c>
      <c r="C4" t="s">
        <v>7</v>
      </c>
      <c r="D4">
        <v>-2.12</v>
      </c>
      <c r="E4">
        <f t="shared" si="0"/>
        <v>-3.7000980142279788E-2</v>
      </c>
      <c r="F4">
        <f t="shared" si="1"/>
        <v>-3.6992537882611969E-2</v>
      </c>
      <c r="G4">
        <f t="shared" si="2"/>
        <v>0.99931554182900784</v>
      </c>
      <c r="H4">
        <f t="shared" si="3"/>
        <v>-1</v>
      </c>
      <c r="I4">
        <v>0.99969971990545103</v>
      </c>
      <c r="J4">
        <v>32.877105658113116</v>
      </c>
      <c r="K4" t="e">
        <v>#N/A</v>
      </c>
      <c r="L4" t="e">
        <v>#N/A</v>
      </c>
    </row>
    <row r="5" spans="1:14" x14ac:dyDescent="0.4">
      <c r="A5" t="s">
        <v>22</v>
      </c>
      <c r="B5">
        <v>1575</v>
      </c>
      <c r="C5" t="s">
        <v>7</v>
      </c>
      <c r="D5">
        <v>0.75</v>
      </c>
      <c r="E5">
        <f t="shared" si="0"/>
        <v>1.3089969389957472E-2</v>
      </c>
      <c r="F5">
        <f t="shared" si="1"/>
        <v>1.3089595571344441E-2</v>
      </c>
      <c r="G5">
        <f t="shared" si="2"/>
        <v>0.999914327574007</v>
      </c>
      <c r="H5">
        <f t="shared" si="3"/>
        <v>-1</v>
      </c>
      <c r="I5">
        <v>19975.344447793981</v>
      </c>
      <c r="J5">
        <v>18</v>
      </c>
      <c r="K5" t="e">
        <v>#N/A</v>
      </c>
      <c r="L5" t="e">
        <v>#N/A</v>
      </c>
    </row>
    <row r="6" spans="1:14" x14ac:dyDescent="0.4">
      <c r="A6" t="s">
        <v>21</v>
      </c>
      <c r="B6">
        <v>1600</v>
      </c>
      <c r="C6" t="s">
        <v>7</v>
      </c>
      <c r="D6">
        <v>3.66</v>
      </c>
      <c r="E6">
        <f t="shared" si="0"/>
        <v>6.387905062299247E-2</v>
      </c>
      <c r="F6">
        <f t="shared" si="1"/>
        <v>6.3835616055581398E-2</v>
      </c>
      <c r="G6">
        <f t="shared" si="2"/>
        <v>0.99796042713266164</v>
      </c>
      <c r="H6">
        <f t="shared" si="3"/>
        <v>-1</v>
      </c>
      <c r="I6">
        <v>64774293.726623818</v>
      </c>
      <c r="J6">
        <v>19456.273376185203</v>
      </c>
      <c r="K6" t="e">
        <v>#N/A</v>
      </c>
      <c r="L6" t="e">
        <v>#N/A</v>
      </c>
    </row>
    <row r="7" spans="1:14" x14ac:dyDescent="0.4">
      <c r="A7" t="s">
        <v>23</v>
      </c>
      <c r="B7">
        <v>1625</v>
      </c>
      <c r="C7" t="s">
        <v>7</v>
      </c>
      <c r="D7">
        <v>7.8</v>
      </c>
      <c r="E7">
        <f t="shared" si="0"/>
        <v>0.1361356816555577</v>
      </c>
      <c r="F7">
        <f t="shared" si="1"/>
        <v>0.13571557243430438</v>
      </c>
      <c r="G7">
        <f t="shared" si="2"/>
        <v>0.9907478404714436</v>
      </c>
      <c r="H7">
        <f t="shared" si="3"/>
        <v>-1</v>
      </c>
    </row>
    <row r="8" spans="1:14" x14ac:dyDescent="0.4">
      <c r="A8" t="s">
        <v>24</v>
      </c>
      <c r="B8">
        <v>1650</v>
      </c>
      <c r="C8" t="s">
        <v>7</v>
      </c>
      <c r="D8">
        <v>10.78</v>
      </c>
      <c r="E8">
        <f t="shared" si="0"/>
        <v>0.1881464933649887</v>
      </c>
      <c r="F8">
        <f t="shared" si="1"/>
        <v>0.18703842024225384</v>
      </c>
      <c r="G8">
        <f t="shared" si="2"/>
        <v>0.98235259930092411</v>
      </c>
      <c r="H8">
        <f t="shared" si="3"/>
        <v>-1</v>
      </c>
      <c r="I8" s="1" t="s">
        <v>13</v>
      </c>
      <c r="J8" s="1"/>
      <c r="K8" s="1"/>
    </row>
    <row r="9" spans="1:14" x14ac:dyDescent="0.4">
      <c r="A9" t="s">
        <v>25</v>
      </c>
      <c r="B9">
        <v>1675</v>
      </c>
      <c r="C9" t="s">
        <v>8</v>
      </c>
      <c r="D9">
        <v>-11.3</v>
      </c>
      <c r="E9">
        <f t="shared" si="0"/>
        <v>-0.19722220547535926</v>
      </c>
      <c r="F9">
        <f t="shared" si="1"/>
        <v>-0.19594614424251772</v>
      </c>
      <c r="G9">
        <f t="shared" si="2"/>
        <v>0.98061465854661301</v>
      </c>
      <c r="H9">
        <f t="shared" si="3"/>
        <v>1</v>
      </c>
      <c r="I9" s="1" t="s">
        <v>38</v>
      </c>
      <c r="J9" s="1"/>
      <c r="K9" s="1"/>
      <c r="L9" s="1"/>
      <c r="M9" s="1"/>
    </row>
    <row r="10" spans="1:14" x14ac:dyDescent="0.4">
      <c r="A10" t="s">
        <v>26</v>
      </c>
      <c r="B10">
        <v>1700</v>
      </c>
      <c r="C10" t="s">
        <v>8</v>
      </c>
      <c r="D10">
        <v>-10.78</v>
      </c>
      <c r="E10">
        <f t="shared" si="0"/>
        <v>-0.1881464933649887</v>
      </c>
      <c r="F10">
        <f t="shared" si="1"/>
        <v>-0.18703842024225384</v>
      </c>
      <c r="G10">
        <f t="shared" si="2"/>
        <v>0.98235259930092411</v>
      </c>
      <c r="H10">
        <f t="shared" si="3"/>
        <v>1</v>
      </c>
    </row>
    <row r="11" spans="1:14" x14ac:dyDescent="0.4">
      <c r="A11" t="s">
        <v>27</v>
      </c>
      <c r="B11">
        <v>1725</v>
      </c>
      <c r="C11" t="s">
        <v>8</v>
      </c>
      <c r="D11">
        <v>-9</v>
      </c>
      <c r="E11">
        <f t="shared" si="0"/>
        <v>-0.15707963267948966</v>
      </c>
      <c r="F11">
        <f t="shared" si="1"/>
        <v>-0.15643446504023087</v>
      </c>
      <c r="G11">
        <f t="shared" si="2"/>
        <v>0.98768834059513777</v>
      </c>
      <c r="H11">
        <f t="shared" si="3"/>
        <v>1</v>
      </c>
    </row>
    <row r="12" spans="1:14" x14ac:dyDescent="0.4">
      <c r="A12" t="s">
        <v>28</v>
      </c>
      <c r="B12">
        <v>1750</v>
      </c>
      <c r="C12" t="s">
        <v>8</v>
      </c>
      <c r="D12">
        <v>-8.23</v>
      </c>
      <c r="E12">
        <f t="shared" si="0"/>
        <v>-0.14364059743913332</v>
      </c>
      <c r="F12">
        <f t="shared" si="1"/>
        <v>-0.14314715975318573</v>
      </c>
      <c r="G12">
        <f t="shared" si="2"/>
        <v>0.9897014148997646</v>
      </c>
      <c r="H12">
        <f t="shared" si="3"/>
        <v>1</v>
      </c>
    </row>
    <row r="13" spans="1:14" x14ac:dyDescent="0.4">
      <c r="A13" t="s">
        <v>29</v>
      </c>
      <c r="B13">
        <v>1775</v>
      </c>
      <c r="C13" t="s">
        <v>8</v>
      </c>
      <c r="D13">
        <v>-7.8</v>
      </c>
      <c r="E13">
        <f t="shared" si="0"/>
        <v>-0.1361356816555577</v>
      </c>
      <c r="F13">
        <f t="shared" si="1"/>
        <v>-0.13571557243430438</v>
      </c>
      <c r="G13">
        <f t="shared" si="2"/>
        <v>0.9907478404714436</v>
      </c>
      <c r="H13">
        <f t="shared" si="3"/>
        <v>1</v>
      </c>
    </row>
    <row r="14" spans="1:14" x14ac:dyDescent="0.4">
      <c r="A14" t="s">
        <v>30</v>
      </c>
      <c r="B14">
        <v>1800</v>
      </c>
      <c r="C14" t="s">
        <v>8</v>
      </c>
      <c r="D14">
        <v>-6.8</v>
      </c>
      <c r="E14">
        <f t="shared" si="0"/>
        <v>-0.11868238913561441</v>
      </c>
      <c r="F14">
        <f t="shared" si="1"/>
        <v>-0.11840396830650095</v>
      </c>
      <c r="G14">
        <f t="shared" si="2"/>
        <v>0.99296550810653694</v>
      </c>
      <c r="H14">
        <f t="shared" si="3"/>
        <v>1</v>
      </c>
    </row>
    <row r="15" spans="1:14" x14ac:dyDescent="0.4">
      <c r="A15" t="s">
        <v>31</v>
      </c>
      <c r="B15">
        <v>1825</v>
      </c>
      <c r="C15" t="s">
        <v>8</v>
      </c>
      <c r="D15">
        <v>-6.26</v>
      </c>
      <c r="E15">
        <f t="shared" si="0"/>
        <v>-0.10925761117484503</v>
      </c>
      <c r="F15">
        <f t="shared" si="1"/>
        <v>-0.1090403687534694</v>
      </c>
      <c r="G15">
        <f t="shared" si="2"/>
        <v>0.99403732222794705</v>
      </c>
      <c r="H15">
        <f t="shared" si="3"/>
        <v>1</v>
      </c>
    </row>
    <row r="16" spans="1:14" x14ac:dyDescent="0.4">
      <c r="A16" t="s">
        <v>32</v>
      </c>
      <c r="B16">
        <v>1850</v>
      </c>
      <c r="C16" t="s">
        <v>8</v>
      </c>
      <c r="D16">
        <v>-5.6</v>
      </c>
      <c r="E16">
        <f t="shared" si="0"/>
        <v>-9.7738438111682452E-2</v>
      </c>
      <c r="F16">
        <f t="shared" si="1"/>
        <v>-9.7582899759149466E-2</v>
      </c>
      <c r="G16">
        <f t="shared" si="2"/>
        <v>0.99522739998183118</v>
      </c>
      <c r="H16">
        <f t="shared" si="3"/>
        <v>1</v>
      </c>
    </row>
    <row r="17" spans="1:8" x14ac:dyDescent="0.4">
      <c r="A17" t="s">
        <v>2</v>
      </c>
      <c r="B17">
        <v>1875</v>
      </c>
      <c r="C17" t="s">
        <v>8</v>
      </c>
      <c r="D17">
        <v>-4.7</v>
      </c>
      <c r="E17">
        <f t="shared" si="0"/>
        <v>-8.2030474843733492E-2</v>
      </c>
      <c r="F17">
        <f t="shared" si="1"/>
        <v>-8.1938508630040929E-2</v>
      </c>
      <c r="G17">
        <f t="shared" si="2"/>
        <v>0.9966373868180366</v>
      </c>
      <c r="H17">
        <f t="shared" si="3"/>
        <v>1</v>
      </c>
    </row>
    <row r="18" spans="1:8" x14ac:dyDescent="0.4">
      <c r="A18" t="s">
        <v>33</v>
      </c>
      <c r="B18">
        <v>1900</v>
      </c>
      <c r="C18" t="s">
        <v>8</v>
      </c>
      <c r="D18">
        <v>-3.5</v>
      </c>
      <c r="E18">
        <f t="shared" si="0"/>
        <v>-6.1086523819801536E-2</v>
      </c>
      <c r="F18">
        <f t="shared" si="1"/>
        <v>-6.1048539534856873E-2</v>
      </c>
      <c r="G18">
        <f t="shared" si="2"/>
        <v>0.99813479842186692</v>
      </c>
      <c r="H18">
        <f t="shared" si="3"/>
        <v>1</v>
      </c>
    </row>
    <row r="19" spans="1:8" x14ac:dyDescent="0.4">
      <c r="A19" t="s">
        <v>34</v>
      </c>
      <c r="B19">
        <v>1925</v>
      </c>
      <c r="C19" t="s">
        <v>8</v>
      </c>
      <c r="D19">
        <v>15.5</v>
      </c>
      <c r="E19">
        <f t="shared" si="0"/>
        <v>0.27052603405912107</v>
      </c>
      <c r="F19">
        <f t="shared" si="1"/>
        <v>0.26723837607825685</v>
      </c>
      <c r="G19">
        <f t="shared" si="2"/>
        <v>0.96363045320862295</v>
      </c>
      <c r="H19">
        <f t="shared" si="3"/>
        <v>1</v>
      </c>
    </row>
    <row r="20" spans="1:8" x14ac:dyDescent="0.4">
      <c r="A20" t="s">
        <v>35</v>
      </c>
      <c r="B20">
        <v>1950</v>
      </c>
      <c r="C20" t="s">
        <v>8</v>
      </c>
      <c r="D20">
        <v>16.899999999999999</v>
      </c>
      <c r="E20">
        <f t="shared" si="0"/>
        <v>0.29496064358704166</v>
      </c>
      <c r="F20">
        <f t="shared" si="1"/>
        <v>0.29070219359825245</v>
      </c>
      <c r="G20">
        <f t="shared" si="2"/>
        <v>0.95681358405760741</v>
      </c>
      <c r="H20">
        <f t="shared" si="3"/>
        <v>1</v>
      </c>
    </row>
    <row r="21" spans="1:8" x14ac:dyDescent="0.4">
      <c r="A21" t="s">
        <v>36</v>
      </c>
      <c r="B21">
        <v>1975</v>
      </c>
      <c r="C21" t="s">
        <v>8</v>
      </c>
      <c r="D21">
        <v>24.78</v>
      </c>
      <c r="E21">
        <f t="shared" si="0"/>
        <v>0.43249258864419488</v>
      </c>
      <c r="F21">
        <f t="shared" si="1"/>
        <v>0.41913518278061318</v>
      </c>
      <c r="G21">
        <f t="shared" si="2"/>
        <v>0.90792383962282985</v>
      </c>
      <c r="H21">
        <f t="shared" si="3"/>
        <v>1</v>
      </c>
    </row>
    <row r="22" spans="1:8" x14ac:dyDescent="0.4">
      <c r="A22" t="s">
        <v>37</v>
      </c>
      <c r="B22">
        <v>2000</v>
      </c>
      <c r="C22" t="s">
        <v>8</v>
      </c>
      <c r="D22">
        <v>26.7</v>
      </c>
      <c r="E22">
        <f t="shared" si="0"/>
        <v>0.46600291028248597</v>
      </c>
      <c r="F22">
        <f t="shared" si="1"/>
        <v>0.44931899861589658</v>
      </c>
      <c r="G22">
        <f t="shared" si="2"/>
        <v>0.89337138832783758</v>
      </c>
      <c r="H22">
        <f t="shared" si="3"/>
        <v>1</v>
      </c>
    </row>
  </sheetData>
  <mergeCells count="2">
    <mergeCell ref="I8:K8"/>
    <mergeCell ref="I9:M9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罗先生</dc:creator>
  <cp:lastModifiedBy>先生 罗</cp:lastModifiedBy>
  <dcterms:created xsi:type="dcterms:W3CDTF">2015-06-05T18:19:34Z</dcterms:created>
  <dcterms:modified xsi:type="dcterms:W3CDTF">2026-07-11T04:56:07Z</dcterms:modified>
</cp:coreProperties>
</file>